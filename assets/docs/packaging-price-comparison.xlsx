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Quotes" sheetId="2" state="visible" r:id="rId4"/>
    <sheet name="Suppli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Source: Packaging tab of El Bash – Costing worksheet, 22 Oct 2026. Blank = no price yet.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Input. Same rate as the costing worksheet.</t>
        </r>
      </text>
    </comment>
    <comment ref="C4" authorId="0">
      <text>
        <r>
          <rPr>
            <sz val="10"/>
            <rFont val="Arial"/>
            <family val="2"/>
          </rPr>
          <t xml:space="preserve">Input. The dirham is pegged at 3.6725 per $.</t>
        </r>
      </text>
    </comment>
    <comment ref="C6" authorId="0">
      <text>
        <r>
          <rPr>
            <sz val="10"/>
            <rFont val="Arial"/>
            <family val="2"/>
          </rPr>
          <t xml:space="preserve">Source: Packaging tab of El Bash – Costing worksheet, 22 Oct 2026. Blank = no price there yet.</t>
        </r>
      </text>
    </comment>
    <comment ref="G6" authorId="0">
      <text>
        <r>
          <rPr>
            <sz val="10"/>
            <rFont val="Arial"/>
            <family val="2"/>
          </rPr>
          <t xml:space="preserve">Source: price shown on each supplier page (column L), searched 22 Oct 2026. Confirm when ordering.</t>
        </r>
      </text>
    </comment>
  </commentList>
</comments>
</file>

<file path=xl/sharedStrings.xml><?xml version="1.0" encoding="utf-8"?>
<sst xmlns="http://schemas.openxmlformats.org/spreadsheetml/2006/main" count="263" uniqueCount="176">
  <si>
    <t xml:space="preserve">El Bash – Packaging price comparison</t>
  </si>
  <si>
    <t xml:space="preserve">Prices are $ a piece. Option prices come from the Quotes tab (green). Fill the yellow column with how many you use a month to see the saving.</t>
  </si>
  <si>
    <t xml:space="preserve">Box</t>
  </si>
  <si>
    <t xml:space="preserve">Item</t>
  </si>
  <si>
    <t xml:space="preserve">Used for</t>
  </si>
  <si>
    <t xml:space="preserve">Now ($ a piece)</t>
  </si>
  <si>
    <t xml:space="preserve">Option 1</t>
  </si>
  <si>
    <t xml:space="preserve">Option 2</t>
  </si>
  <si>
    <t xml:space="preserve">Option 3</t>
  </si>
  <si>
    <t xml:space="preserve">Cheapest quote ($ a piece)</t>
  </si>
  <si>
    <t xml:space="preserve">Saving a piece ($)</t>
  </si>
  <si>
    <t xml:space="preserve">Saving %</t>
  </si>
  <si>
    <t xml:space="preserve">Pieces used a month</t>
  </si>
  <si>
    <t xml:space="preserve">Saving a month ($)</t>
  </si>
  <si>
    <t xml:space="preserve">Recommendation</t>
  </si>
  <si>
    <t xml:space="preserve">Supplier and product</t>
  </si>
  <si>
    <t xml:space="preserve">$ a piece</t>
  </si>
  <si>
    <t xml:space="preserve">A</t>
  </si>
  <si>
    <t xml:space="preserve">Wings box (kraft, flat)</t>
  </si>
  <si>
    <t xml:space="preserve">Wings meals</t>
  </si>
  <si>
    <t xml:space="preserve">Switch to ProdelPak if 14 wings fit</t>
  </si>
  <si>
    <t xml:space="preserve">B</t>
  </si>
  <si>
    <t xml:space="preserve">Large fries bowl with lid (kraft)</t>
  </si>
  <si>
    <t xml:space="preserve">Loaded fries, large fries</t>
  </si>
  <si>
    <t xml:space="preserve">Get ProdelPak 1000 ml bowl ($0.17)</t>
  </si>
  <si>
    <t xml:space="preserve">C</t>
  </si>
  <si>
    <t xml:space="preserve">Small fries bowl (kraft)</t>
  </si>
  <si>
    <t xml:space="preserve">Small fries with sauce</t>
  </si>
  <si>
    <t xml:space="preserve">Get ProdelPak 500 ml bowl with lid</t>
  </si>
  <si>
    <t xml:space="preserve">D</t>
  </si>
  <si>
    <t xml:space="preserve">Meal box (white foam, large)</t>
  </si>
  <si>
    <t xml:space="preserve">Crispy, Zinger, Escalope meals</t>
  </si>
  <si>
    <t xml:space="preserve">Ask wholesaler / Al Walid Plast; $1 is too high</t>
  </si>
  <si>
    <t xml:space="preserve">E</t>
  </si>
  <si>
    <t xml:space="preserve">Sub box (kraft)</t>
  </si>
  <si>
    <t xml:space="preserve">Fajita, Philadelphia, Tawouk, Shawarma</t>
  </si>
  <si>
    <t xml:space="preserve">Ask ProdelPak for a sample of the sandwich box</t>
  </si>
  <si>
    <t xml:space="preserve">F</t>
  </si>
  <si>
    <t xml:space="preserve">Sub box (white foam)</t>
  </si>
  <si>
    <t xml:space="preserve">Sandwiches</t>
  </si>
  <si>
    <t xml:space="preserve">No cheaper option found online</t>
  </si>
  <si>
    <t xml:space="preserve">Keep current supplier</t>
  </si>
  <si>
    <t xml:space="preserve">G</t>
  </si>
  <si>
    <t xml:space="preserve">Burger box (kraft)</t>
  </si>
  <si>
    <t xml:space="preserve">Burgers, appetizers</t>
  </si>
  <si>
    <t xml:space="preserve">Switch to ProdelPak: half the price</t>
  </si>
  <si>
    <t xml:space="preserve">H</t>
  </si>
  <si>
    <t xml:space="preserve">Zinger box (white foam)</t>
  </si>
  <si>
    <t xml:space="preserve">Zinger, Cordon Bleu</t>
  </si>
  <si>
    <t xml:space="preserve">I</t>
  </si>
  <si>
    <t xml:space="preserve">Small fries box (white foam)</t>
  </si>
  <si>
    <t xml:space="preserve">Small fries box</t>
  </si>
  <si>
    <t xml:space="preserve">J</t>
  </si>
  <si>
    <t xml:space="preserve">Big burger box (kraft)</t>
  </si>
  <si>
    <t xml:space="preserve">Crunchy burger</t>
  </si>
  <si>
    <t xml:space="preserve">Ask ProdelPak for a quote</t>
  </si>
  <si>
    <t xml:space="preserve">K</t>
  </si>
  <si>
    <t xml:space="preserve">Large meal box with handle (kraft)</t>
  </si>
  <si>
    <t xml:space="preserve">Meals 6–7 pcs, family meals</t>
  </si>
  <si>
    <t xml:space="preserve">L</t>
  </si>
  <si>
    <t xml:space="preserve">Broasted bucket</t>
  </si>
  <si>
    <t xml:space="preserve">Broasted family 10 pcs</t>
  </si>
  <si>
    <t xml:space="preserve">Ask ProdelPak / Katra Press; UAE price is a reference only</t>
  </si>
  <si>
    <t xml:space="preserve">M</t>
  </si>
  <si>
    <t xml:space="preserve">Aluminium tray, ½ kg</t>
  </si>
  <si>
    <t xml:space="preserve">½ kg family meals</t>
  </si>
  <si>
    <t xml:space="preserve">N</t>
  </si>
  <si>
    <t xml:space="preserve">Aluminium tray, 1 kg</t>
  </si>
  <si>
    <t xml:space="preserve">1 kg family meals</t>
  </si>
  <si>
    <t xml:space="preserve">Total saving a month</t>
  </si>
  <si>
    <t xml:space="preserve">Key: blue = prices you pay now (inputs) · green = pulled from the Quotes tab · yellow = fill in · "ask" = supplier sells it but shows no price online.</t>
  </si>
  <si>
    <t xml:space="preserve">El Bash – Packaging quotes, checked online 22 Oct 2026</t>
  </si>
  <si>
    <t xml:space="preserve">L.L. per $</t>
  </si>
  <si>
    <t xml:space="preserve">AED per $</t>
  </si>
  <si>
    <t xml:space="preserve">Supplier</t>
  </si>
  <si>
    <t xml:space="preserve">Product and size</t>
  </si>
  <si>
    <t xml:space="preserve">Pieces in pack</t>
  </si>
  <si>
    <t xml:space="preserve">Pack price</t>
  </si>
  <si>
    <t xml:space="preserve">Currency</t>
  </si>
  <si>
    <t xml:space="preserve">Price a piece ($)</t>
  </si>
  <si>
    <t xml:space="preserve">Notes</t>
  </si>
  <si>
    <t xml:space="preserve">Link</t>
  </si>
  <si>
    <t xml:space="preserve">ProdelPak (Lebanon)</t>
  </si>
  <si>
    <t xml:space="preserve">Take-out box for broasted chicken &amp; fries</t>
  </si>
  <si>
    <t xml:space="preserve">$</t>
  </si>
  <si>
    <t xml:space="preserve">Closest match to box A; check the size fits 14 wings</t>
  </si>
  <si>
    <t xml:space="preserve">https://prodelpak.com/product/take-out-for-broasted-chicken-and-fries/</t>
  </si>
  <si>
    <t xml:space="preserve">Round paper bowl 1000 ml with PET lid (black outside, kraft inside)</t>
  </si>
  <si>
    <t xml:space="preserve">https://prodelpak.com/product/round-paper-bowl-with-pet-lid-1000-ml-black-color-with-kraft-color-inside/</t>
  </si>
  <si>
    <t xml:space="preserve">Square kraft paper bowl with PET lid, 1400 ml</t>
  </si>
  <si>
    <t xml:space="preserve">Same bowl from 500 ml is $0.135</t>
  </si>
  <si>
    <t xml:space="preserve">https://prodelpak.com/product/square-paper-bowl-for-salads-and-food-with-pet-lid-sealable-500-1400-ml/</t>
  </si>
  <si>
    <t xml:space="preserve">Ecopulp 48 oz bowl with PET lid</t>
  </si>
  <si>
    <t xml:space="preserve">Sugarcane fibre, sturdier, dearer</t>
  </si>
  <si>
    <t xml:space="preserve">https://prodelpak.com/product/ecopulp-hrv-cb48-base-48-ozpet-lid/</t>
  </si>
  <si>
    <t xml:space="preserve">Square kraft paper bowl with PET lid, 500 ml</t>
  </si>
  <si>
    <t xml:space="preserve">Comes with a lid</t>
  </si>
  <si>
    <t xml:space="preserve">Kraft soup cup with paper lid, 8 to 32 oz</t>
  </si>
  <si>
    <t xml:space="preserve">$0.126 to $0.176 by size</t>
  </si>
  <si>
    <t xml:space="preserve">https://prodelpak.com/product/soup-cup-with-paper-lids-8oz-to-32-oz-white-and-kraft/</t>
  </si>
  <si>
    <t xml:space="preserve">WebstaurantStore (USA, for comparison)</t>
  </si>
  <si>
    <t xml:space="preserve">Foam hinged container 9 x 9 x 3 in</t>
  </si>
  <si>
    <t xml:space="preserve">US price, no Lebanese price online. Ask Al Walid Plast or your wholesaler; expect about $0.10 to $0.20, so $1 is wrong</t>
  </si>
  <si>
    <t xml:space="preserve">https://www.webstaurantstore.com/47305/foam-hinged-take-out-containers.html</t>
  </si>
  <si>
    <t xml:space="preserve">Flower sandwich box, kraft, size XXL</t>
  </si>
  <si>
    <t xml:space="preserve">XS to XXL: $0.088 to $0.138</t>
  </si>
  <si>
    <t xml:space="preserve">https://prodelpak.com/product-section/sandwiches-wraps/page/2/</t>
  </si>
  <si>
    <t xml:space="preserve">Ecomi Doner sandwich box 17.5 x 6 x 5 cm</t>
  </si>
  <si>
    <t xml:space="preserve">Narrow; check a sub fits</t>
  </si>
  <si>
    <t xml:space="preserve">https://prodelpak.com/product/ecomi-doner/</t>
  </si>
  <si>
    <t xml:space="preserve">SwipeBox burger box, kraft, 12.5 x 12.5 x 7.5 cm</t>
  </si>
  <si>
    <t xml:space="preserve">$0.09 a piece, sold by 200</t>
  </si>
  <si>
    <t xml:space="preserve">https://prodelpak.com/product-category/burger-box/</t>
  </si>
  <si>
    <t xml:space="preserve">Burger Clam box, kraft, 12 x 11.5 x 6.5 cm</t>
  </si>
  <si>
    <t xml:space="preserve">Smaller than G</t>
  </si>
  <si>
    <t xml:space="preserve">https://prodelpak.com/product/burger-auto/</t>
  </si>
  <si>
    <t xml:space="preserve">Flower burger box L, 12.5 x 12.5 x 7.5 cm</t>
  </si>
  <si>
    <t xml:space="preserve">No price online; ask for a quote with box J's size</t>
  </si>
  <si>
    <t xml:space="preserve">https://prodelpak.com/product/14016-flower-burger-l-12-5-12-5-7-5-kraft-stk/</t>
  </si>
  <si>
    <t xml:space="preserve">Take-out box with handle L, 23 x 14 x 12.5 cm</t>
  </si>
  <si>
    <t xml:space="preserve">No price online; ask for a quote</t>
  </si>
  <si>
    <t xml:space="preserve">https://prodelpak.com/product/12016-take-out-handle-l-_-23-14-12-5/</t>
  </si>
  <si>
    <t xml:space="preserve">Club Box with handles, 17 x 12 x 7.5 cm</t>
  </si>
  <si>
    <t xml:space="preserve">Smaller; no price online</t>
  </si>
  <si>
    <t xml:space="preserve">https://prodelpak.com/product/club-box-new/</t>
  </si>
  <si>
    <t xml:space="preserve">Restaurantware (UAE, for comparison)</t>
  </si>
  <si>
    <t xml:space="preserve">Bio Tek paper chicken bucket 85 oz with lid</t>
  </si>
  <si>
    <t xml:space="preserve">AED</t>
  </si>
  <si>
    <t xml:space="preserve">Import price reference; ask ProdelPak or Katra Press for a local or printed one</t>
  </si>
  <si>
    <t xml:space="preserve">https://www.restaurantware.ae/products/bio-tek-85-oz-red-and-white-paper-chicken-bucket-with-lid-100-count-box</t>
  </si>
  <si>
    <t xml:space="preserve">Bio Tek paper chicken bucket 130 oz with lid</t>
  </si>
  <si>
    <t xml:space="preserve">Size for 10 pieces</t>
  </si>
  <si>
    <t xml:space="preserve">https://www.restaurantware.ae/products/bio-tek-130-oz-red-and-white-paper-chicken-bucket-with-lid-25-count-box</t>
  </si>
  <si>
    <t xml:space="preserve">Bio Tek paper chicken bucket 150 oz with lid</t>
  </si>
  <si>
    <t xml:space="preserve">https://restaurantware.ae/products/bio-tek-150-oz-red-and-white-paper-chicken-bucket-with-lid-100-count-box</t>
  </si>
  <si>
    <t xml:space="preserve">Hotpack / Falcon 8389 (UAE shop, for comparison)</t>
  </si>
  <si>
    <t xml:space="preserve">Aluminium container 890 ml with lid</t>
  </si>
  <si>
    <t xml:space="preserve">Retail pack of 10 with lids; your $0.15 is good</t>
  </si>
  <si>
    <t xml:space="preserve">https://www.talabat.com/ar/uae/grocery/693860/aysha-supermarketkhazam/disposables/containers?aid=3921</t>
  </si>
  <si>
    <t xml:space="preserve">Hotpack 83185 (UAE shop, for comparison)</t>
  </si>
  <si>
    <t xml:space="preserve">Aluminium container 1850 ml with lid</t>
  </si>
  <si>
    <t xml:space="preserve">Retail pack of 10 with lids; your $0.30 is good</t>
  </si>
  <si>
    <t xml:space="preserve">https://www.talabat.com/ar/uae/grocery/718395/bigbuy-express-supermarket-arjan/disposables/containers?aid=4006</t>
  </si>
  <si>
    <t xml:space="preserve">Where</t>
  </si>
  <si>
    <t xml:space="preserve">What they sell</t>
  </si>
  <si>
    <t xml:space="preserve">Contact</t>
  </si>
  <si>
    <t xml:space="preserve">Website</t>
  </si>
  <si>
    <t xml:space="preserve">ProdelPak</t>
  </si>
  <si>
    <t xml:space="preserve">Lebanon (pickup in Dekweneh)</t>
  </si>
  <si>
    <t xml:space="preserve">Kraft and paper boxes, bowls, fry boxes, sandwich and burger boxes; prices online in $</t>
  </si>
  <si>
    <t xml:space="preserve">+961 81 610 121 (orders), +961 76 671 757 (pickup), sales@prodelpak.com</t>
  </si>
  <si>
    <t xml:space="preserve">https://prodelpak.com/contact-us/</t>
  </si>
  <si>
    <t xml:space="preserve">Al Walid Plast</t>
  </si>
  <si>
    <t xml:space="preserve">Hadath, Baabda</t>
  </si>
  <si>
    <t xml:space="preserve">Foam containers and trays, aluminium containers, disposables; no prices online</t>
  </si>
  <si>
    <t xml:space="preserve">Through the website</t>
  </si>
  <si>
    <t xml:space="preserve">https://alwalidplast.com/</t>
  </si>
  <si>
    <t xml:space="preserve">Werpack SAL</t>
  </si>
  <si>
    <t xml:space="preserve">Zahleh industrial city</t>
  </si>
  <si>
    <t xml:space="preserve">Aluminium food packaging</t>
  </si>
  <si>
    <t xml:space="preserve">Through Kompass listing</t>
  </si>
  <si>
    <t xml:space="preserve">https://us.kompass.com/c/werpack-sal/lb029630/</t>
  </si>
  <si>
    <t xml:space="preserve">Katra Press</t>
  </si>
  <si>
    <t xml:space="preserve">Bauchrieh, Metn</t>
  </si>
  <si>
    <t xml:space="preserve">Carton boxes, food packaging, delivery bags; can print your logo</t>
  </si>
  <si>
    <t xml:space="preserve">https://lb.kompass.com/a/paper-bags-and-sacks-for-packaging/16680/</t>
  </si>
  <si>
    <t xml:space="preserve">Plastiban SARL</t>
  </si>
  <si>
    <t xml:space="preserve">Beirut, Sakiet El Janzeir</t>
  </si>
  <si>
    <t xml:space="preserve">Cardboard and plastic boxes</t>
  </si>
  <si>
    <t xml:space="preserve">Facebook page</t>
  </si>
  <si>
    <t xml:space="preserve">https://www.facebook.com/plastiban/</t>
  </si>
  <si>
    <t xml:space="preserve">Restaurantware / Hotpack</t>
  </si>
  <si>
    <t xml:space="preserve">UAE</t>
  </si>
  <si>
    <t xml:space="preserve">Paper chicken buckets, aluminium and foam; a price check or for a big import order</t>
  </si>
  <si>
    <t xml:space="preserve">Online shop</t>
  </si>
  <si>
    <t xml:space="preserve">https://www.restaurantware.ae/collections/food-buckets-chicken-buckets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</si>
</sst>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0.000;&quot;($&quot;0.000\);\-"/>
    <numFmt numFmtId="166" formatCode="0.0%;\(0.0%\);\-"/>
    <numFmt numFmtId="167" formatCode="#,##0"/>
    <numFmt numFmtId="168" formatCode="\$#,##0.00;&quot;($&quot;#,##0.00\);\-"/>
    <numFmt numFmtId="169" formatCode="#,##0.0###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u val="single"/>
      <sz val="11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prodelpak.com/product/take-out-for-broasted-chicken-and-fries/" TargetMode="External"/><Relationship Id="rId3" Type="http://schemas.openxmlformats.org/officeDocument/2006/relationships/hyperlink" Target="https://prodelpak.com/product/round-paper-bowl-with-pet-lid-1000-ml-black-color-with-kraft-color-inside/" TargetMode="External"/><Relationship Id="rId4" Type="http://schemas.openxmlformats.org/officeDocument/2006/relationships/hyperlink" Target="https://prodelpak.com/product/square-paper-bowl-for-salads-and-food-with-pet-lid-sealable-500-1400-ml/" TargetMode="External"/><Relationship Id="rId5" Type="http://schemas.openxmlformats.org/officeDocument/2006/relationships/hyperlink" Target="https://prodelpak.com/product/ecopulp-hrv-cb48-base-48-ozpet-lid/" TargetMode="External"/><Relationship Id="rId6" Type="http://schemas.openxmlformats.org/officeDocument/2006/relationships/hyperlink" Target="https://prodelpak.com/product/square-paper-bowl-for-salads-and-food-with-pet-lid-sealable-500-1400-ml/" TargetMode="External"/><Relationship Id="rId7" Type="http://schemas.openxmlformats.org/officeDocument/2006/relationships/hyperlink" Target="https://prodelpak.com/product/soup-cup-with-paper-lids-8oz-to-32-oz-white-and-kraft/" TargetMode="External"/><Relationship Id="rId8" Type="http://schemas.openxmlformats.org/officeDocument/2006/relationships/hyperlink" Target="https://www.webstaurantstore.com/47305/foam-hinged-take-out-containers.html" TargetMode="External"/><Relationship Id="rId9" Type="http://schemas.openxmlformats.org/officeDocument/2006/relationships/hyperlink" Target="https://prodelpak.com/product-section/sandwiches-wraps/page/2/" TargetMode="External"/><Relationship Id="rId10" Type="http://schemas.openxmlformats.org/officeDocument/2006/relationships/hyperlink" Target="https://prodelpak.com/product/ecomi-doner/" TargetMode="External"/><Relationship Id="rId11" Type="http://schemas.openxmlformats.org/officeDocument/2006/relationships/hyperlink" Target="https://prodelpak.com/product-category/burger-box/" TargetMode="External"/><Relationship Id="rId12" Type="http://schemas.openxmlformats.org/officeDocument/2006/relationships/hyperlink" Target="https://prodelpak.com/product/burger-auto/" TargetMode="External"/><Relationship Id="rId13" Type="http://schemas.openxmlformats.org/officeDocument/2006/relationships/hyperlink" Target="https://prodelpak.com/product/14016-flower-burger-l-12-5-12-5-7-5-kraft-stk/" TargetMode="External"/><Relationship Id="rId14" Type="http://schemas.openxmlformats.org/officeDocument/2006/relationships/hyperlink" Target="https://prodelpak.com/product/12016-take-out-handle-l-_-23-14-12-5/" TargetMode="External"/><Relationship Id="rId15" Type="http://schemas.openxmlformats.org/officeDocument/2006/relationships/hyperlink" Target="https://prodelpak.com/product/club-box-new/" TargetMode="External"/><Relationship Id="rId16" Type="http://schemas.openxmlformats.org/officeDocument/2006/relationships/hyperlink" Target="https://www.restaurantware.ae/products/bio-tek-85-oz-red-and-white-paper-chicken-bucket-with-lid-100-count-box" TargetMode="External"/><Relationship Id="rId17" Type="http://schemas.openxmlformats.org/officeDocument/2006/relationships/hyperlink" Target="https://www.restaurantware.ae/products/bio-tek-130-oz-red-and-white-paper-chicken-bucket-with-lid-25-count-box" TargetMode="External"/><Relationship Id="rId18" Type="http://schemas.openxmlformats.org/officeDocument/2006/relationships/hyperlink" Target="https://restaurantware.ae/products/bio-tek-150-oz-red-and-white-paper-chicken-bucket-with-lid-100-count-box" TargetMode="External"/><Relationship Id="rId19" Type="http://schemas.openxmlformats.org/officeDocument/2006/relationships/hyperlink" Target="https://www.talabat.com/ar/uae/grocery/693860/aysha-supermarketkhazam/disposables/containers?aid=3921" TargetMode="External"/><Relationship Id="rId20" Type="http://schemas.openxmlformats.org/officeDocument/2006/relationships/hyperlink" Target="https://www.talabat.com/ar/uae/grocery/718395/bigbuy-express-supermarket-arjan/disposables/containers?aid=4006" TargetMode="External"/><Relationship Id="rId21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prodelpak.com/contact-us/" TargetMode="External"/><Relationship Id="rId2" Type="http://schemas.openxmlformats.org/officeDocument/2006/relationships/hyperlink" Target="https://alwalidplast.com/" TargetMode="External"/><Relationship Id="rId3" Type="http://schemas.openxmlformats.org/officeDocument/2006/relationships/hyperlink" Target="https://us.kompass.com/c/werpack-sal/lb029630/" TargetMode="External"/><Relationship Id="rId4" Type="http://schemas.openxmlformats.org/officeDocument/2006/relationships/hyperlink" Target="https://lb.kompass.com/a/paper-bags-and-sacks-for-packaging/16680/" TargetMode="External"/><Relationship Id="rId5" Type="http://schemas.openxmlformats.org/officeDocument/2006/relationships/hyperlink" Target="https://www.facebook.com/plastiban/" TargetMode="External"/><Relationship Id="rId6" Type="http://schemas.openxmlformats.org/officeDocument/2006/relationships/hyperlink" Target="https://www.restaurantware.ae/collections/food-buckets-chicken-bucket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9"/>
    <col collapsed="false" customWidth="true" hidden="false" outlineLevel="0" max="9" min="9" style="0" width="34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/>
      <c r="G4" s="3" t="s">
        <v>7</v>
      </c>
      <c r="H4" s="3"/>
      <c r="I4" s="3" t="s">
        <v>8</v>
      </c>
      <c r="J4" s="3"/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</row>
    <row r="5" customFormat="false" ht="15" hidden="false" customHeight="false" outlineLevel="0" collapsed="false">
      <c r="A5" s="3"/>
      <c r="B5" s="3"/>
      <c r="C5" s="3"/>
      <c r="D5" s="3"/>
      <c r="E5" s="4" t="s">
        <v>15</v>
      </c>
      <c r="F5" s="4" t="s">
        <v>16</v>
      </c>
      <c r="G5" s="4" t="s">
        <v>15</v>
      </c>
      <c r="H5" s="4" t="s">
        <v>16</v>
      </c>
      <c r="I5" s="4" t="s">
        <v>15</v>
      </c>
      <c r="J5" s="4" t="s">
        <v>16</v>
      </c>
      <c r="K5" s="3"/>
      <c r="L5" s="3"/>
      <c r="M5" s="3"/>
      <c r="N5" s="3"/>
      <c r="O5" s="3"/>
      <c r="P5" s="3"/>
    </row>
    <row r="6" customFormat="false" ht="26.85" hidden="false" customHeight="false" outlineLevel="0" collapsed="false">
      <c r="A6" s="5" t="s">
        <v>17</v>
      </c>
      <c r="B6" s="6" t="s">
        <v>18</v>
      </c>
      <c r="C6" s="6" t="s">
        <v>19</v>
      </c>
      <c r="D6" s="7" t="n">
        <v>0.302</v>
      </c>
      <c r="E6" s="8" t="str">
        <f aca="false">Quotes!D7&amp;": "&amp;Quotes!E7</f>
        <v>ProdelPak (Lebanon): Take-out box for broasted chicken &amp; fries</v>
      </c>
      <c r="F6" s="9" t="n">
        <f aca="false">IF(Quotes!I7="","ask",Quotes!I7)</f>
        <v>0.225</v>
      </c>
      <c r="G6" s="6"/>
      <c r="H6" s="10"/>
      <c r="I6" s="6"/>
      <c r="J6" s="10"/>
      <c r="K6" s="11" t="n">
        <f aca="false">IF(COUNT(F6,H6,J6)=0,"",MIN(F6,H6,J6))</f>
        <v>0.225</v>
      </c>
      <c r="L6" s="10" t="n">
        <f aca="false">IF(OR(D6="",K6=""),"",D6-K6)</f>
        <v>0.077</v>
      </c>
      <c r="M6" s="12" t="n">
        <f aca="false">IF(L6="","",L6/D6)</f>
        <v>0.254966887417219</v>
      </c>
      <c r="N6" s="13"/>
      <c r="O6" s="14" t="str">
        <f aca="false">IF(OR(L6="",N6=""),"",L6*N6)</f>
        <v/>
      </c>
      <c r="P6" s="6" t="s">
        <v>20</v>
      </c>
    </row>
    <row r="7" customFormat="false" ht="39.55" hidden="false" customHeight="false" outlineLevel="0" collapsed="false">
      <c r="A7" s="5" t="s">
        <v>21</v>
      </c>
      <c r="B7" s="6" t="s">
        <v>22</v>
      </c>
      <c r="C7" s="6" t="s">
        <v>23</v>
      </c>
      <c r="D7" s="7"/>
      <c r="E7" s="8" t="str">
        <f aca="false">Quotes!D8&amp;": "&amp;Quotes!E8</f>
        <v>ProdelPak (Lebanon): Round paper bowl 1000 ml with PET lid (black outside, kraft inside)</v>
      </c>
      <c r="F7" s="9" t="n">
        <f aca="false">IF(Quotes!I8="","ask",Quotes!I8)</f>
        <v>0.17</v>
      </c>
      <c r="G7" s="8" t="str">
        <f aca="false">Quotes!D9&amp;": "&amp;Quotes!E9</f>
        <v>ProdelPak (Lebanon): Square kraft paper bowl with PET lid, 1400 ml</v>
      </c>
      <c r="H7" s="9" t="n">
        <f aca="false">IF(Quotes!I9="","ask",Quotes!I9)</f>
        <v>0.221</v>
      </c>
      <c r="I7" s="8" t="str">
        <f aca="false">Quotes!D10&amp;": "&amp;Quotes!E10</f>
        <v>ProdelPak (Lebanon): Ecopulp 48 oz bowl with PET lid</v>
      </c>
      <c r="J7" s="9" t="n">
        <f aca="false">IF(Quotes!I10="","ask",Quotes!I10)</f>
        <v>0.47</v>
      </c>
      <c r="K7" s="11" t="n">
        <f aca="false">IF(COUNT(F7,H7,J7)=0,"",MIN(F7,H7,J7))</f>
        <v>0.17</v>
      </c>
      <c r="L7" s="10" t="str">
        <f aca="false">IF(OR(D7="",K7=""),"",D7-K7)</f>
        <v/>
      </c>
      <c r="M7" s="12" t="str">
        <f aca="false">IF(L7="","",L7/D7)</f>
        <v/>
      </c>
      <c r="N7" s="13"/>
      <c r="O7" s="14" t="str">
        <f aca="false">IF(OR(L7="",N7=""),"",L7*N7)</f>
        <v/>
      </c>
      <c r="P7" s="6" t="s">
        <v>24</v>
      </c>
    </row>
    <row r="8" customFormat="false" ht="26.85" hidden="false" customHeight="false" outlineLevel="0" collapsed="false">
      <c r="A8" s="5" t="s">
        <v>25</v>
      </c>
      <c r="B8" s="6" t="s">
        <v>26</v>
      </c>
      <c r="C8" s="6" t="s">
        <v>27</v>
      </c>
      <c r="D8" s="7"/>
      <c r="E8" s="8" t="str">
        <f aca="false">Quotes!D11&amp;": "&amp;Quotes!E11</f>
        <v>ProdelPak (Lebanon): Square kraft paper bowl with PET lid, 500 ml</v>
      </c>
      <c r="F8" s="9" t="n">
        <f aca="false">IF(Quotes!I11="","ask",Quotes!I11)</f>
        <v>0.135</v>
      </c>
      <c r="G8" s="8" t="str">
        <f aca="false">Quotes!D12&amp;": "&amp;Quotes!E12</f>
        <v>ProdelPak (Lebanon): Kraft soup cup with paper lid, 8 to 32 oz</v>
      </c>
      <c r="H8" s="9" t="n">
        <f aca="false">IF(Quotes!I12="","ask",Quotes!I12)</f>
        <v>0.126</v>
      </c>
      <c r="I8" s="6"/>
      <c r="J8" s="10"/>
      <c r="K8" s="11" t="n">
        <f aca="false">IF(COUNT(F8,H8,J8)=0,"",MIN(F8,H8,J8))</f>
        <v>0.126</v>
      </c>
      <c r="L8" s="10" t="str">
        <f aca="false">IF(OR(D8="",K8=""),"",D8-K8)</f>
        <v/>
      </c>
      <c r="M8" s="12" t="str">
        <f aca="false">IF(L8="","",L8/D8)</f>
        <v/>
      </c>
      <c r="N8" s="13"/>
      <c r="O8" s="14" t="str">
        <f aca="false">IF(OR(L8="",N8=""),"",L8*N8)</f>
        <v/>
      </c>
      <c r="P8" s="6" t="s">
        <v>28</v>
      </c>
    </row>
    <row r="9" customFormat="false" ht="39.55" hidden="false" customHeight="false" outlineLevel="0" collapsed="false">
      <c r="A9" s="5" t="s">
        <v>29</v>
      </c>
      <c r="B9" s="6" t="s">
        <v>30</v>
      </c>
      <c r="C9" s="6" t="s">
        <v>31</v>
      </c>
      <c r="D9" s="7"/>
      <c r="E9" s="8" t="str">
        <f aca="false">Quotes!D13&amp;": "&amp;Quotes!E13</f>
        <v>WebstaurantStore (USA, for comparison): Foam hinged container 9 x 9 x 3 in</v>
      </c>
      <c r="F9" s="9" t="n">
        <f aca="false">IF(Quotes!I13="","ask",Quotes!I13)</f>
        <v>0.13745</v>
      </c>
      <c r="G9" s="6"/>
      <c r="H9" s="10"/>
      <c r="I9" s="6"/>
      <c r="J9" s="10"/>
      <c r="K9" s="11" t="n">
        <f aca="false">IF(COUNT(F9,H9,J9)=0,"",MIN(F9,H9,J9))</f>
        <v>0.13745</v>
      </c>
      <c r="L9" s="10" t="str">
        <f aca="false">IF(OR(D9="",K9=""),"",D9-K9)</f>
        <v/>
      </c>
      <c r="M9" s="12" t="str">
        <f aca="false">IF(L9="","",L9/D9)</f>
        <v/>
      </c>
      <c r="N9" s="13"/>
      <c r="O9" s="14" t="str">
        <f aca="false">IF(OR(L9="",N9=""),"",L9*N9)</f>
        <v/>
      </c>
      <c r="P9" s="6" t="s">
        <v>32</v>
      </c>
    </row>
    <row r="10" customFormat="false" ht="26.85" hidden="false" customHeight="false" outlineLevel="0" collapsed="false">
      <c r="A10" s="5" t="s">
        <v>33</v>
      </c>
      <c r="B10" s="6" t="s">
        <v>34</v>
      </c>
      <c r="C10" s="6" t="s">
        <v>35</v>
      </c>
      <c r="D10" s="7" t="n">
        <v>0.15</v>
      </c>
      <c r="E10" s="8" t="str">
        <f aca="false">Quotes!D14&amp;": "&amp;Quotes!E14</f>
        <v>ProdelPak (Lebanon): Flower sandwich box, kraft, size XXL</v>
      </c>
      <c r="F10" s="9" t="n">
        <f aca="false">IF(Quotes!I14="","ask",Quotes!I14)</f>
        <v>0.138</v>
      </c>
      <c r="G10" s="8" t="str">
        <f aca="false">Quotes!D15&amp;": "&amp;Quotes!E15</f>
        <v>ProdelPak (Lebanon): Ecomi Doner sandwich box 17.5 x 6 x 5 cm</v>
      </c>
      <c r="H10" s="9" t="n">
        <f aca="false">IF(Quotes!I15="","ask",Quotes!I15)</f>
        <v>0.059</v>
      </c>
      <c r="I10" s="6"/>
      <c r="J10" s="10"/>
      <c r="K10" s="11" t="n">
        <f aca="false">IF(COUNT(F10,H10,J10)=0,"",MIN(F10,H10,J10))</f>
        <v>0.059</v>
      </c>
      <c r="L10" s="10" t="n">
        <f aca="false">IF(OR(D10="",K10=""),"",D10-K10)</f>
        <v>0.091</v>
      </c>
      <c r="M10" s="12" t="n">
        <f aca="false">IF(L10="","",L10/D10)</f>
        <v>0.606666666666667</v>
      </c>
      <c r="N10" s="13"/>
      <c r="O10" s="14" t="str">
        <f aca="false">IF(OR(L10="",N10=""),"",L10*N10)</f>
        <v/>
      </c>
      <c r="P10" s="6" t="s">
        <v>36</v>
      </c>
    </row>
    <row r="11" customFormat="false" ht="15" hidden="false" customHeight="false" outlineLevel="0" collapsed="false">
      <c r="A11" s="5" t="s">
        <v>37</v>
      </c>
      <c r="B11" s="6" t="s">
        <v>38</v>
      </c>
      <c r="C11" s="6" t="s">
        <v>39</v>
      </c>
      <c r="D11" s="7" t="n">
        <v>0.065</v>
      </c>
      <c r="E11" s="8" t="s">
        <v>40</v>
      </c>
      <c r="F11" s="10"/>
      <c r="G11" s="6"/>
      <c r="H11" s="10"/>
      <c r="I11" s="6"/>
      <c r="J11" s="10"/>
      <c r="K11" s="11" t="str">
        <f aca="false">IF(COUNT(F11,H11,J11)=0,"",MIN(F11,H11,J11))</f>
        <v/>
      </c>
      <c r="L11" s="10" t="str">
        <f aca="false">IF(OR(D11="",K11=""),"",D11-K11)</f>
        <v/>
      </c>
      <c r="M11" s="12" t="str">
        <f aca="false">IF(L11="","",L11/D11)</f>
        <v/>
      </c>
      <c r="N11" s="13"/>
      <c r="O11" s="14" t="str">
        <f aca="false">IF(OR(L11="",N11=""),"",L11*N11)</f>
        <v/>
      </c>
      <c r="P11" s="6" t="s">
        <v>41</v>
      </c>
    </row>
    <row r="12" customFormat="false" ht="39.55" hidden="false" customHeight="false" outlineLevel="0" collapsed="false">
      <c r="A12" s="5" t="s">
        <v>42</v>
      </c>
      <c r="B12" s="6" t="s">
        <v>43</v>
      </c>
      <c r="C12" s="6" t="s">
        <v>44</v>
      </c>
      <c r="D12" s="7" t="n">
        <v>0.18</v>
      </c>
      <c r="E12" s="8" t="str">
        <f aca="false">Quotes!D16&amp;": "&amp;Quotes!E16</f>
        <v>ProdelPak (Lebanon): SwipeBox burger box, kraft, 12.5 x 12.5 x 7.5 cm</v>
      </c>
      <c r="F12" s="9" t="n">
        <f aca="false">IF(Quotes!I16="","ask",Quotes!I16)</f>
        <v>0.09</v>
      </c>
      <c r="G12" s="8" t="str">
        <f aca="false">Quotes!D17&amp;": "&amp;Quotes!E17</f>
        <v>ProdelPak (Lebanon): Burger Clam box, kraft, 12 x 11.5 x 6.5 cm</v>
      </c>
      <c r="H12" s="9" t="n">
        <f aca="false">IF(Quotes!I17="","ask",Quotes!I17)</f>
        <v>0.089</v>
      </c>
      <c r="I12" s="6"/>
      <c r="J12" s="10"/>
      <c r="K12" s="11" t="n">
        <f aca="false">IF(COUNT(F12,H12,J12)=0,"",MIN(F12,H12,J12))</f>
        <v>0.089</v>
      </c>
      <c r="L12" s="10" t="n">
        <f aca="false">IF(OR(D12="",K12=""),"",D12-K12)</f>
        <v>0.091</v>
      </c>
      <c r="M12" s="12" t="n">
        <f aca="false">IF(L12="","",L12/D12)</f>
        <v>0.505555555555556</v>
      </c>
      <c r="N12" s="13"/>
      <c r="O12" s="14" t="str">
        <f aca="false">IF(OR(L12="",N12=""),"",L12*N12)</f>
        <v/>
      </c>
      <c r="P12" s="6" t="s">
        <v>45</v>
      </c>
    </row>
    <row r="13" customFormat="false" ht="15" hidden="false" customHeight="false" outlineLevel="0" collapsed="false">
      <c r="A13" s="5" t="s">
        <v>46</v>
      </c>
      <c r="B13" s="6" t="s">
        <v>47</v>
      </c>
      <c r="C13" s="6" t="s">
        <v>48</v>
      </c>
      <c r="D13" s="7" t="n">
        <v>0.05</v>
      </c>
      <c r="E13" s="8" t="s">
        <v>40</v>
      </c>
      <c r="F13" s="10"/>
      <c r="G13" s="6"/>
      <c r="H13" s="10"/>
      <c r="I13" s="6"/>
      <c r="J13" s="10"/>
      <c r="K13" s="11" t="str">
        <f aca="false">IF(COUNT(F13,H13,J13)=0,"",MIN(F13,H13,J13))</f>
        <v/>
      </c>
      <c r="L13" s="10" t="str">
        <f aca="false">IF(OR(D13="",K13=""),"",D13-K13)</f>
        <v/>
      </c>
      <c r="M13" s="12" t="str">
        <f aca="false">IF(L13="","",L13/D13)</f>
        <v/>
      </c>
      <c r="N13" s="13"/>
      <c r="O13" s="14" t="str">
        <f aca="false">IF(OR(L13="",N13=""),"",L13*N13)</f>
        <v/>
      </c>
      <c r="P13" s="6" t="s">
        <v>41</v>
      </c>
    </row>
    <row r="14" customFormat="false" ht="15" hidden="false" customHeight="false" outlineLevel="0" collapsed="false">
      <c r="A14" s="5" t="s">
        <v>49</v>
      </c>
      <c r="B14" s="6" t="s">
        <v>50</v>
      </c>
      <c r="C14" s="6" t="s">
        <v>51</v>
      </c>
      <c r="D14" s="7" t="n">
        <v>0.05</v>
      </c>
      <c r="E14" s="8" t="s">
        <v>40</v>
      </c>
      <c r="F14" s="10"/>
      <c r="G14" s="6"/>
      <c r="H14" s="10"/>
      <c r="I14" s="6"/>
      <c r="J14" s="10"/>
      <c r="K14" s="11" t="str">
        <f aca="false">IF(COUNT(F14,H14,J14)=0,"",MIN(F14,H14,J14))</f>
        <v/>
      </c>
      <c r="L14" s="10" t="str">
        <f aca="false">IF(OR(D14="",K14=""),"",D14-K14)</f>
        <v/>
      </c>
      <c r="M14" s="12" t="str">
        <f aca="false">IF(L14="","",L14/D14)</f>
        <v/>
      </c>
      <c r="N14" s="13"/>
      <c r="O14" s="14" t="str">
        <f aca="false">IF(OR(L14="",N14=""),"",L14*N14)</f>
        <v/>
      </c>
      <c r="P14" s="6" t="s">
        <v>41</v>
      </c>
    </row>
    <row r="15" customFormat="false" ht="26.85" hidden="false" customHeight="false" outlineLevel="0" collapsed="false">
      <c r="A15" s="5" t="s">
        <v>52</v>
      </c>
      <c r="B15" s="6" t="s">
        <v>53</v>
      </c>
      <c r="C15" s="6" t="s">
        <v>54</v>
      </c>
      <c r="D15" s="7"/>
      <c r="E15" s="8" t="str">
        <f aca="false">Quotes!D18&amp;": "&amp;Quotes!E18</f>
        <v>ProdelPak (Lebanon): Flower burger box L, 12.5 x 12.5 x 7.5 cm</v>
      </c>
      <c r="F15" s="9" t="str">
        <f aca="false">IF(Quotes!I18="","ask",Quotes!I18)</f>
        <v>ask</v>
      </c>
      <c r="G15" s="6"/>
      <c r="H15" s="10"/>
      <c r="I15" s="6"/>
      <c r="J15" s="10"/>
      <c r="K15" s="11" t="str">
        <f aca="false">IF(COUNT(F15,H15,J15)=0,"",MIN(F15,H15,J15))</f>
        <v/>
      </c>
      <c r="L15" s="10" t="str">
        <f aca="false">IF(OR(D15="",K15=""),"",D15-K15)</f>
        <v/>
      </c>
      <c r="M15" s="12" t="str">
        <f aca="false">IF(L15="","",L15/D15)</f>
        <v/>
      </c>
      <c r="N15" s="13"/>
      <c r="O15" s="14" t="str">
        <f aca="false">IF(OR(L15="",N15=""),"",L15*N15)</f>
        <v/>
      </c>
      <c r="P15" s="6" t="s">
        <v>55</v>
      </c>
    </row>
    <row r="16" customFormat="false" ht="26.85" hidden="false" customHeight="false" outlineLevel="0" collapsed="false">
      <c r="A16" s="5" t="s">
        <v>56</v>
      </c>
      <c r="B16" s="6" t="s">
        <v>57</v>
      </c>
      <c r="C16" s="6" t="s">
        <v>58</v>
      </c>
      <c r="D16" s="7"/>
      <c r="E16" s="8" t="str">
        <f aca="false">Quotes!D19&amp;": "&amp;Quotes!E19</f>
        <v>ProdelPak (Lebanon): Take-out box with handle L, 23 x 14 x 12.5 cm</v>
      </c>
      <c r="F16" s="9" t="str">
        <f aca="false">IF(Quotes!I19="","ask",Quotes!I19)</f>
        <v>ask</v>
      </c>
      <c r="G16" s="8" t="str">
        <f aca="false">Quotes!D20&amp;": "&amp;Quotes!E20</f>
        <v>ProdelPak (Lebanon): Club Box with handles, 17 x 12 x 7.5 cm</v>
      </c>
      <c r="H16" s="9" t="str">
        <f aca="false">IF(Quotes!I20="","ask",Quotes!I20)</f>
        <v>ask</v>
      </c>
      <c r="I16" s="6"/>
      <c r="J16" s="10"/>
      <c r="K16" s="11" t="str">
        <f aca="false">IF(COUNT(F16,H16,J16)=0,"",MIN(F16,H16,J16))</f>
        <v/>
      </c>
      <c r="L16" s="10" t="str">
        <f aca="false">IF(OR(D16="",K16=""),"",D16-K16)</f>
        <v/>
      </c>
      <c r="M16" s="12" t="str">
        <f aca="false">IF(L16="","",L16/D16)</f>
        <v/>
      </c>
      <c r="N16" s="13"/>
      <c r="O16" s="14" t="str">
        <f aca="false">IF(OR(L16="",N16=""),"",L16*N16)</f>
        <v/>
      </c>
      <c r="P16" s="6" t="s">
        <v>55</v>
      </c>
    </row>
    <row r="17" customFormat="false" ht="39.55" hidden="false" customHeight="false" outlineLevel="0" collapsed="false">
      <c r="A17" s="5" t="s">
        <v>59</v>
      </c>
      <c r="B17" s="6" t="s">
        <v>60</v>
      </c>
      <c r="C17" s="6" t="s">
        <v>61</v>
      </c>
      <c r="D17" s="7"/>
      <c r="E17" s="8" t="str">
        <f aca="false">Quotes!D21&amp;": "&amp;Quotes!E21</f>
        <v>Restaurantware (UAE, for comparison): Bio Tek paper chicken bucket 85 oz with lid</v>
      </c>
      <c r="F17" s="9" t="n">
        <f aca="false">IF(Quotes!I21="","ask",Quotes!I21)</f>
        <v>0.750088495575221</v>
      </c>
      <c r="G17" s="8" t="str">
        <f aca="false">Quotes!D22&amp;": "&amp;Quotes!E22</f>
        <v>Restaurantware (UAE, for comparison): Bio Tek paper chicken bucket 130 oz with lid</v>
      </c>
      <c r="H17" s="9" t="n">
        <f aca="false">IF(Quotes!I22="","ask",Quotes!I22)</f>
        <v>0.827746766507829</v>
      </c>
      <c r="I17" s="8" t="str">
        <f aca="false">Quotes!D23&amp;": "&amp;Quotes!E23</f>
        <v>Restaurantware (UAE, for comparison): Bio Tek paper chicken bucket 150 oz with lid</v>
      </c>
      <c r="J17" s="9" t="n">
        <f aca="false">IF(Quotes!I23="","ask",Quotes!I23)</f>
        <v>1.06396187882914</v>
      </c>
      <c r="K17" s="11" t="n">
        <f aca="false">IF(COUNT(F17,H17,J17)=0,"",MIN(F17,H17,J17))</f>
        <v>0.750088495575221</v>
      </c>
      <c r="L17" s="10" t="str">
        <f aca="false">IF(OR(D17="",K17=""),"",D17-K17)</f>
        <v/>
      </c>
      <c r="M17" s="12" t="str">
        <f aca="false">IF(L17="","",L17/D17)</f>
        <v/>
      </c>
      <c r="N17" s="13"/>
      <c r="O17" s="14" t="str">
        <f aca="false">IF(OR(L17="",N17=""),"",L17*N17)</f>
        <v/>
      </c>
      <c r="P17" s="6" t="s">
        <v>62</v>
      </c>
    </row>
    <row r="18" customFormat="false" ht="39.55" hidden="false" customHeight="false" outlineLevel="0" collapsed="false">
      <c r="A18" s="5" t="s">
        <v>63</v>
      </c>
      <c r="B18" s="6" t="s">
        <v>64</v>
      </c>
      <c r="C18" s="6" t="s">
        <v>65</v>
      </c>
      <c r="D18" s="7" t="n">
        <v>0.15</v>
      </c>
      <c r="E18" s="8" t="str">
        <f aca="false">Quotes!D24&amp;": "&amp;Quotes!E24</f>
        <v>Hotpack / Falcon 8389 (UAE shop, for comparison): Aluminium container 890 ml with lid</v>
      </c>
      <c r="F18" s="9" t="n">
        <f aca="false">IF(Quotes!I24="","ask",Quotes!I24)</f>
        <v>0.189244383934649</v>
      </c>
      <c r="G18" s="6"/>
      <c r="H18" s="10"/>
      <c r="I18" s="6"/>
      <c r="J18" s="10"/>
      <c r="K18" s="11" t="n">
        <f aca="false">IF(COUNT(F18,H18,J18)=0,"",MIN(F18,H18,J18))</f>
        <v>0.189244383934649</v>
      </c>
      <c r="L18" s="10" t="n">
        <f aca="false">IF(OR(D18="",K18=""),"",D18-K18)</f>
        <v>-0.0392443839346495</v>
      </c>
      <c r="M18" s="12" t="n">
        <f aca="false">IF(L18="","",L18/D18)</f>
        <v>-0.261629226230996</v>
      </c>
      <c r="N18" s="13"/>
      <c r="O18" s="14" t="str">
        <f aca="false">IF(OR(L18="",N18=""),"",L18*N18)</f>
        <v/>
      </c>
      <c r="P18" s="6" t="s">
        <v>41</v>
      </c>
    </row>
    <row r="19" customFormat="false" ht="39.55" hidden="false" customHeight="false" outlineLevel="0" collapsed="false">
      <c r="A19" s="5" t="s">
        <v>66</v>
      </c>
      <c r="B19" s="6" t="s">
        <v>67</v>
      </c>
      <c r="C19" s="6" t="s">
        <v>68</v>
      </c>
      <c r="D19" s="7" t="n">
        <v>0.3</v>
      </c>
      <c r="E19" s="8" t="str">
        <f aca="false">Quotes!D25&amp;": "&amp;Quotes!E25</f>
        <v>Hotpack 83185 (UAE shop, for comparison): Aluminium container 1850 ml with lid</v>
      </c>
      <c r="F19" s="9" t="n">
        <f aca="false">IF(Quotes!I25="","ask",Quotes!I25)</f>
        <v>0.381211708645337</v>
      </c>
      <c r="G19" s="6"/>
      <c r="H19" s="10"/>
      <c r="I19" s="6"/>
      <c r="J19" s="10"/>
      <c r="K19" s="11" t="n">
        <f aca="false">IF(COUNT(F19,H19,J19)=0,"",MIN(F19,H19,J19))</f>
        <v>0.381211708645337</v>
      </c>
      <c r="L19" s="10" t="n">
        <f aca="false">IF(OR(D19="",K19=""),"",D19-K19)</f>
        <v>-0.0812117086453369</v>
      </c>
      <c r="M19" s="12" t="n">
        <f aca="false">IF(L19="","",L19/D19)</f>
        <v>-0.270705695484457</v>
      </c>
      <c r="N19" s="13"/>
      <c r="O19" s="14" t="str">
        <f aca="false">IF(OR(L19="",N19=""),"",L19*N19)</f>
        <v/>
      </c>
      <c r="P19" s="6" t="s">
        <v>41</v>
      </c>
    </row>
    <row r="20" customFormat="false" ht="15" hidden="false" customHeight="false" outlineLevel="0" collapsed="false">
      <c r="B20" s="15" t="s">
        <v>69</v>
      </c>
      <c r="O20" s="16" t="n">
        <f aca="false">SUM(O6:O19)</f>
        <v>0</v>
      </c>
    </row>
    <row r="22" customFormat="false" ht="15" hidden="false" customHeight="false" outlineLevel="0" collapsed="false">
      <c r="A22" s="2" t="s">
        <v>70</v>
      </c>
    </row>
  </sheetData>
  <mergeCells count="13">
    <mergeCell ref="A4:A5"/>
    <mergeCell ref="B4:B5"/>
    <mergeCell ref="C4:C5"/>
    <mergeCell ref="D4:D5"/>
    <mergeCell ref="E4:F4"/>
    <mergeCell ref="G4:H4"/>
    <mergeCell ref="I4:J4"/>
    <mergeCell ref="K4:K5"/>
    <mergeCell ref="L4:L5"/>
    <mergeCell ref="M4:M5"/>
    <mergeCell ref="N4:N5"/>
    <mergeCell ref="O4:O5"/>
    <mergeCell ref="P4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40"/>
    <col collapsed="false" customWidth="true" hidden="false" outlineLevel="0" max="12" min="12" style="0" width="45"/>
  </cols>
  <sheetData>
    <row r="1" customFormat="false" ht="17.35" hidden="false" customHeight="false" outlineLevel="0" collapsed="false">
      <c r="A1" s="1" t="s">
        <v>71</v>
      </c>
    </row>
    <row r="3" customFormat="false" ht="15" hidden="false" customHeight="false" outlineLevel="0" collapsed="false">
      <c r="B3" s="15" t="s">
        <v>72</v>
      </c>
      <c r="C3" s="17" t="n">
        <v>89500</v>
      </c>
    </row>
    <row r="4" customFormat="false" ht="15" hidden="false" customHeight="false" outlineLevel="0" collapsed="false">
      <c r="B4" s="15" t="s">
        <v>73</v>
      </c>
      <c r="C4" s="17" t="n">
        <v>3.6725</v>
      </c>
    </row>
    <row r="6" customFormat="false" ht="26.85" hidden="false" customHeight="false" outlineLevel="0" collapsed="false">
      <c r="A6" s="18" t="s">
        <v>2</v>
      </c>
      <c r="B6" s="18" t="s">
        <v>3</v>
      </c>
      <c r="C6" s="18" t="s">
        <v>5</v>
      </c>
      <c r="D6" s="18" t="s">
        <v>74</v>
      </c>
      <c r="E6" s="18" t="s">
        <v>75</v>
      </c>
      <c r="F6" s="18" t="s">
        <v>76</v>
      </c>
      <c r="G6" s="18" t="s">
        <v>77</v>
      </c>
      <c r="H6" s="18" t="s">
        <v>78</v>
      </c>
      <c r="I6" s="18" t="s">
        <v>79</v>
      </c>
      <c r="J6" s="18" t="s">
        <v>10</v>
      </c>
      <c r="K6" s="18" t="s">
        <v>80</v>
      </c>
      <c r="L6" s="18" t="s">
        <v>81</v>
      </c>
    </row>
    <row r="7" customFormat="false" ht="26.85" hidden="false" customHeight="false" outlineLevel="0" collapsed="false">
      <c r="A7" s="19" t="s">
        <v>17</v>
      </c>
      <c r="B7" s="6" t="s">
        <v>18</v>
      </c>
      <c r="C7" s="7" t="n">
        <v>0.302</v>
      </c>
      <c r="D7" s="6" t="s">
        <v>82</v>
      </c>
      <c r="E7" s="6" t="s">
        <v>83</v>
      </c>
      <c r="F7" s="20" t="n">
        <v>250</v>
      </c>
      <c r="G7" s="20" t="n">
        <v>56.25</v>
      </c>
      <c r="H7" s="19" t="s">
        <v>84</v>
      </c>
      <c r="I7" s="10" t="n">
        <f aca="false">IF(OR(F7="",G7=""),"",G7/F7/IF(H7="AED",$C$4,IF(H7="L.L.",$C$3,1)))</f>
        <v>0.225</v>
      </c>
      <c r="J7" s="10" t="n">
        <f aca="false">IF(OR(C7="",I7=""),"",C7-I7)</f>
        <v>0.077</v>
      </c>
      <c r="K7" s="6" t="s">
        <v>85</v>
      </c>
      <c r="L7" s="21" t="s">
        <v>86</v>
      </c>
    </row>
    <row r="8" customFormat="false" ht="26.85" hidden="false" customHeight="false" outlineLevel="0" collapsed="false">
      <c r="A8" s="19" t="s">
        <v>21</v>
      </c>
      <c r="B8" s="6" t="s">
        <v>22</v>
      </c>
      <c r="C8" s="7"/>
      <c r="D8" s="6" t="s">
        <v>82</v>
      </c>
      <c r="E8" s="6" t="s">
        <v>87</v>
      </c>
      <c r="F8" s="20" t="n">
        <v>300</v>
      </c>
      <c r="G8" s="20" t="n">
        <v>51</v>
      </c>
      <c r="H8" s="19" t="s">
        <v>84</v>
      </c>
      <c r="I8" s="10" t="n">
        <f aca="false">IF(OR(F8="",G8=""),"",G8/F8/IF(H8="AED",$C$4,IF(H8="L.L.",$C$3,1)))</f>
        <v>0.17</v>
      </c>
      <c r="J8" s="10" t="str">
        <f aca="false">IF(OR(C8="",I8=""),"",C8-I8)</f>
        <v/>
      </c>
      <c r="K8" s="6"/>
      <c r="L8" s="21" t="s">
        <v>88</v>
      </c>
    </row>
    <row r="9" customFormat="false" ht="26.85" hidden="false" customHeight="false" outlineLevel="0" collapsed="false">
      <c r="A9" s="19" t="s">
        <v>21</v>
      </c>
      <c r="B9" s="6" t="s">
        <v>22</v>
      </c>
      <c r="C9" s="7"/>
      <c r="D9" s="6" t="s">
        <v>82</v>
      </c>
      <c r="E9" s="6" t="s">
        <v>89</v>
      </c>
      <c r="F9" s="20" t="n">
        <v>1</v>
      </c>
      <c r="G9" s="20" t="n">
        <v>0.221</v>
      </c>
      <c r="H9" s="19" t="s">
        <v>84</v>
      </c>
      <c r="I9" s="10" t="n">
        <f aca="false">IF(OR(F9="",G9=""),"",G9/F9/IF(H9="AED",$C$4,IF(H9="L.L.",$C$3,1)))</f>
        <v>0.221</v>
      </c>
      <c r="J9" s="10" t="str">
        <f aca="false">IF(OR(C9="",I9=""),"",C9-I9)</f>
        <v/>
      </c>
      <c r="K9" s="6" t="s">
        <v>90</v>
      </c>
      <c r="L9" s="21" t="s">
        <v>91</v>
      </c>
    </row>
    <row r="10" customFormat="false" ht="26.85" hidden="false" customHeight="false" outlineLevel="0" collapsed="false">
      <c r="A10" s="19" t="s">
        <v>21</v>
      </c>
      <c r="B10" s="6" t="s">
        <v>22</v>
      </c>
      <c r="C10" s="7"/>
      <c r="D10" s="6" t="s">
        <v>82</v>
      </c>
      <c r="E10" s="6" t="s">
        <v>92</v>
      </c>
      <c r="F10" s="20" t="n">
        <v>300</v>
      </c>
      <c r="G10" s="20" t="n">
        <v>141</v>
      </c>
      <c r="H10" s="19" t="s">
        <v>84</v>
      </c>
      <c r="I10" s="10" t="n">
        <f aca="false">IF(OR(F10="",G10=""),"",G10/F10/IF(H10="AED",$C$4,IF(H10="L.L.",$C$3,1)))</f>
        <v>0.47</v>
      </c>
      <c r="J10" s="10" t="str">
        <f aca="false">IF(OR(C10="",I10=""),"",C10-I10)</f>
        <v/>
      </c>
      <c r="K10" s="6" t="s">
        <v>93</v>
      </c>
      <c r="L10" s="21" t="s">
        <v>94</v>
      </c>
    </row>
    <row r="11" customFormat="false" ht="26.85" hidden="false" customHeight="false" outlineLevel="0" collapsed="false">
      <c r="A11" s="19" t="s">
        <v>25</v>
      </c>
      <c r="B11" s="6" t="s">
        <v>26</v>
      </c>
      <c r="C11" s="7"/>
      <c r="D11" s="6" t="s">
        <v>82</v>
      </c>
      <c r="E11" s="6" t="s">
        <v>95</v>
      </c>
      <c r="F11" s="20" t="n">
        <v>1</v>
      </c>
      <c r="G11" s="20" t="n">
        <v>0.135</v>
      </c>
      <c r="H11" s="19" t="s">
        <v>84</v>
      </c>
      <c r="I11" s="10" t="n">
        <f aca="false">IF(OR(F11="",G11=""),"",G11/F11/IF(H11="AED",$C$4,IF(H11="L.L.",$C$3,1)))</f>
        <v>0.135</v>
      </c>
      <c r="J11" s="10" t="str">
        <f aca="false">IF(OR(C11="",I11=""),"",C11-I11)</f>
        <v/>
      </c>
      <c r="K11" s="6" t="s">
        <v>96</v>
      </c>
      <c r="L11" s="21" t="s">
        <v>91</v>
      </c>
    </row>
    <row r="12" customFormat="false" ht="26.85" hidden="false" customHeight="false" outlineLevel="0" collapsed="false">
      <c r="A12" s="19" t="s">
        <v>25</v>
      </c>
      <c r="B12" s="6" t="s">
        <v>26</v>
      </c>
      <c r="C12" s="7"/>
      <c r="D12" s="6" t="s">
        <v>82</v>
      </c>
      <c r="E12" s="6" t="s">
        <v>97</v>
      </c>
      <c r="F12" s="20" t="n">
        <v>1</v>
      </c>
      <c r="G12" s="20" t="n">
        <v>0.126</v>
      </c>
      <c r="H12" s="19" t="s">
        <v>84</v>
      </c>
      <c r="I12" s="10" t="n">
        <f aca="false">IF(OR(F12="",G12=""),"",G12/F12/IF(H12="AED",$C$4,IF(H12="L.L.",$C$3,1)))</f>
        <v>0.126</v>
      </c>
      <c r="J12" s="10" t="str">
        <f aca="false">IF(OR(C12="",I12=""),"",C12-I12)</f>
        <v/>
      </c>
      <c r="K12" s="6" t="s">
        <v>98</v>
      </c>
      <c r="L12" s="21" t="s">
        <v>99</v>
      </c>
    </row>
    <row r="13" customFormat="false" ht="39.55" hidden="false" customHeight="false" outlineLevel="0" collapsed="false">
      <c r="A13" s="19" t="s">
        <v>29</v>
      </c>
      <c r="B13" s="6" t="s">
        <v>30</v>
      </c>
      <c r="C13" s="7"/>
      <c r="D13" s="6" t="s">
        <v>100</v>
      </c>
      <c r="E13" s="6" t="s">
        <v>101</v>
      </c>
      <c r="F13" s="20" t="n">
        <v>200</v>
      </c>
      <c r="G13" s="20" t="n">
        <v>27.49</v>
      </c>
      <c r="H13" s="19" t="s">
        <v>84</v>
      </c>
      <c r="I13" s="10" t="n">
        <f aca="false">IF(OR(F13="",G13=""),"",G13/F13/IF(H13="AED",$C$4,IF(H13="L.L.",$C$3,1)))</f>
        <v>0.13745</v>
      </c>
      <c r="J13" s="10" t="str">
        <f aca="false">IF(OR(C13="",I13=""),"",C13-I13)</f>
        <v/>
      </c>
      <c r="K13" s="6" t="s">
        <v>102</v>
      </c>
      <c r="L13" s="21" t="s">
        <v>103</v>
      </c>
    </row>
    <row r="14" customFormat="false" ht="15" hidden="false" customHeight="false" outlineLevel="0" collapsed="false">
      <c r="A14" s="19" t="s">
        <v>33</v>
      </c>
      <c r="B14" s="6" t="s">
        <v>34</v>
      </c>
      <c r="C14" s="7" t="n">
        <v>0.15</v>
      </c>
      <c r="D14" s="6" t="s">
        <v>82</v>
      </c>
      <c r="E14" s="6" t="s">
        <v>104</v>
      </c>
      <c r="F14" s="20" t="n">
        <v>1</v>
      </c>
      <c r="G14" s="20" t="n">
        <v>0.138</v>
      </c>
      <c r="H14" s="19" t="s">
        <v>84</v>
      </c>
      <c r="I14" s="10" t="n">
        <f aca="false">IF(OR(F14="",G14=""),"",G14/F14/IF(H14="AED",$C$4,IF(H14="L.L.",$C$3,1)))</f>
        <v>0.138</v>
      </c>
      <c r="J14" s="10" t="n">
        <f aca="false">IF(OR(C14="",I14=""),"",C14-I14)</f>
        <v>0.012</v>
      </c>
      <c r="K14" s="6" t="s">
        <v>105</v>
      </c>
      <c r="L14" s="21" t="s">
        <v>106</v>
      </c>
    </row>
    <row r="15" customFormat="false" ht="26.85" hidden="false" customHeight="false" outlineLevel="0" collapsed="false">
      <c r="A15" s="19" t="s">
        <v>33</v>
      </c>
      <c r="B15" s="6" t="s">
        <v>34</v>
      </c>
      <c r="C15" s="7" t="n">
        <v>0.15</v>
      </c>
      <c r="D15" s="6" t="s">
        <v>82</v>
      </c>
      <c r="E15" s="6" t="s">
        <v>107</v>
      </c>
      <c r="F15" s="20" t="n">
        <v>1</v>
      </c>
      <c r="G15" s="20" t="n">
        <v>0.059</v>
      </c>
      <c r="H15" s="19" t="s">
        <v>84</v>
      </c>
      <c r="I15" s="10" t="n">
        <f aca="false">IF(OR(F15="",G15=""),"",G15/F15/IF(H15="AED",$C$4,IF(H15="L.L.",$C$3,1)))</f>
        <v>0.059</v>
      </c>
      <c r="J15" s="10" t="n">
        <f aca="false">IF(OR(C15="",I15=""),"",C15-I15)</f>
        <v>0.091</v>
      </c>
      <c r="K15" s="6" t="s">
        <v>108</v>
      </c>
      <c r="L15" s="21" t="s">
        <v>109</v>
      </c>
    </row>
    <row r="16" customFormat="false" ht="26.85" hidden="false" customHeight="false" outlineLevel="0" collapsed="false">
      <c r="A16" s="19" t="s">
        <v>42</v>
      </c>
      <c r="B16" s="6" t="s">
        <v>43</v>
      </c>
      <c r="C16" s="7" t="n">
        <v>0.18</v>
      </c>
      <c r="D16" s="6" t="s">
        <v>82</v>
      </c>
      <c r="E16" s="6" t="s">
        <v>110</v>
      </c>
      <c r="F16" s="20" t="n">
        <v>200</v>
      </c>
      <c r="G16" s="20" t="n">
        <v>18</v>
      </c>
      <c r="H16" s="19" t="s">
        <v>84</v>
      </c>
      <c r="I16" s="10" t="n">
        <f aca="false">IF(OR(F16="",G16=""),"",G16/F16/IF(H16="AED",$C$4,IF(H16="L.L.",$C$3,1)))</f>
        <v>0.09</v>
      </c>
      <c r="J16" s="10" t="n">
        <f aca="false">IF(OR(C16="",I16=""),"",C16-I16)</f>
        <v>0.09</v>
      </c>
      <c r="K16" s="6" t="s">
        <v>111</v>
      </c>
      <c r="L16" s="21" t="s">
        <v>112</v>
      </c>
    </row>
    <row r="17" customFormat="false" ht="26.85" hidden="false" customHeight="false" outlineLevel="0" collapsed="false">
      <c r="A17" s="19" t="s">
        <v>42</v>
      </c>
      <c r="B17" s="6" t="s">
        <v>43</v>
      </c>
      <c r="C17" s="7" t="n">
        <v>0.18</v>
      </c>
      <c r="D17" s="6" t="s">
        <v>82</v>
      </c>
      <c r="E17" s="6" t="s">
        <v>113</v>
      </c>
      <c r="F17" s="20" t="n">
        <v>1</v>
      </c>
      <c r="G17" s="20" t="n">
        <v>0.089</v>
      </c>
      <c r="H17" s="19" t="s">
        <v>84</v>
      </c>
      <c r="I17" s="10" t="n">
        <f aca="false">IF(OR(F17="",G17=""),"",G17/F17/IF(H17="AED",$C$4,IF(H17="L.L.",$C$3,1)))</f>
        <v>0.089</v>
      </c>
      <c r="J17" s="10" t="n">
        <f aca="false">IF(OR(C17="",I17=""),"",C17-I17)</f>
        <v>0.091</v>
      </c>
      <c r="K17" s="6" t="s">
        <v>114</v>
      </c>
      <c r="L17" s="21" t="s">
        <v>115</v>
      </c>
    </row>
    <row r="18" customFormat="false" ht="26.85" hidden="false" customHeight="false" outlineLevel="0" collapsed="false">
      <c r="A18" s="19" t="s">
        <v>52</v>
      </c>
      <c r="B18" s="6" t="s">
        <v>53</v>
      </c>
      <c r="C18" s="7"/>
      <c r="D18" s="6" t="s">
        <v>82</v>
      </c>
      <c r="E18" s="6" t="s">
        <v>116</v>
      </c>
      <c r="F18" s="20"/>
      <c r="G18" s="20"/>
      <c r="H18" s="19" t="s">
        <v>84</v>
      </c>
      <c r="I18" s="10" t="str">
        <f aca="false">IF(OR(F18="",G18=""),"",G18/F18/IF(H18="AED",$C$4,IF(H18="L.L.",$C$3,1)))</f>
        <v/>
      </c>
      <c r="J18" s="10" t="str">
        <f aca="false">IF(OR(C18="",I18=""),"",C18-I18)</f>
        <v/>
      </c>
      <c r="K18" s="6" t="s">
        <v>117</v>
      </c>
      <c r="L18" s="21" t="s">
        <v>118</v>
      </c>
    </row>
    <row r="19" customFormat="false" ht="26.85" hidden="false" customHeight="false" outlineLevel="0" collapsed="false">
      <c r="A19" s="19" t="s">
        <v>56</v>
      </c>
      <c r="B19" s="6" t="s">
        <v>57</v>
      </c>
      <c r="C19" s="7"/>
      <c r="D19" s="6" t="s">
        <v>82</v>
      </c>
      <c r="E19" s="6" t="s">
        <v>119</v>
      </c>
      <c r="F19" s="20"/>
      <c r="G19" s="20"/>
      <c r="H19" s="19" t="s">
        <v>84</v>
      </c>
      <c r="I19" s="10" t="str">
        <f aca="false">IF(OR(F19="",G19=""),"",G19/F19/IF(H19="AED",$C$4,IF(H19="L.L.",$C$3,1)))</f>
        <v/>
      </c>
      <c r="J19" s="10" t="str">
        <f aca="false">IF(OR(C19="",I19=""),"",C19-I19)</f>
        <v/>
      </c>
      <c r="K19" s="6" t="s">
        <v>120</v>
      </c>
      <c r="L19" s="21" t="s">
        <v>121</v>
      </c>
    </row>
    <row r="20" customFormat="false" ht="26.85" hidden="false" customHeight="false" outlineLevel="0" collapsed="false">
      <c r="A20" s="19" t="s">
        <v>56</v>
      </c>
      <c r="B20" s="6" t="s">
        <v>57</v>
      </c>
      <c r="C20" s="7"/>
      <c r="D20" s="6" t="s">
        <v>82</v>
      </c>
      <c r="E20" s="6" t="s">
        <v>122</v>
      </c>
      <c r="F20" s="20"/>
      <c r="G20" s="20"/>
      <c r="H20" s="19" t="s">
        <v>84</v>
      </c>
      <c r="I20" s="10" t="str">
        <f aca="false">IF(OR(F20="",G20=""),"",G20/F20/IF(H20="AED",$C$4,IF(H20="L.L.",$C$3,1)))</f>
        <v/>
      </c>
      <c r="J20" s="10" t="str">
        <f aca="false">IF(OR(C20="",I20=""),"",C20-I20)</f>
        <v/>
      </c>
      <c r="K20" s="6" t="s">
        <v>123</v>
      </c>
      <c r="L20" s="21" t="s">
        <v>124</v>
      </c>
    </row>
    <row r="21" customFormat="false" ht="26.85" hidden="false" customHeight="false" outlineLevel="0" collapsed="false">
      <c r="A21" s="19" t="s">
        <v>59</v>
      </c>
      <c r="B21" s="6" t="s">
        <v>60</v>
      </c>
      <c r="C21" s="7"/>
      <c r="D21" s="6" t="s">
        <v>125</v>
      </c>
      <c r="E21" s="6" t="s">
        <v>126</v>
      </c>
      <c r="F21" s="20" t="n">
        <v>100</v>
      </c>
      <c r="G21" s="20" t="n">
        <v>275.47</v>
      </c>
      <c r="H21" s="19" t="s">
        <v>127</v>
      </c>
      <c r="I21" s="10" t="n">
        <f aca="false">IF(OR(F21="",G21=""),"",G21/F21/IF(H21="AED",$C$4,IF(H21="L.L.",$C$3,1)))</f>
        <v>0.750088495575221</v>
      </c>
      <c r="J21" s="10" t="str">
        <f aca="false">IF(OR(C21="",I21=""),"",C21-I21)</f>
        <v/>
      </c>
      <c r="K21" s="6" t="s">
        <v>128</v>
      </c>
      <c r="L21" s="21" t="s">
        <v>129</v>
      </c>
    </row>
    <row r="22" customFormat="false" ht="26.85" hidden="false" customHeight="false" outlineLevel="0" collapsed="false">
      <c r="A22" s="19" t="s">
        <v>59</v>
      </c>
      <c r="B22" s="6" t="s">
        <v>60</v>
      </c>
      <c r="C22" s="7"/>
      <c r="D22" s="6" t="s">
        <v>125</v>
      </c>
      <c r="E22" s="6" t="s">
        <v>130</v>
      </c>
      <c r="F22" s="20" t="n">
        <v>100</v>
      </c>
      <c r="G22" s="20" t="n">
        <v>303.99</v>
      </c>
      <c r="H22" s="19" t="s">
        <v>127</v>
      </c>
      <c r="I22" s="10" t="n">
        <f aca="false">IF(OR(F22="",G22=""),"",G22/F22/IF(H22="AED",$C$4,IF(H22="L.L.",$C$3,1)))</f>
        <v>0.827746766507829</v>
      </c>
      <c r="J22" s="10" t="str">
        <f aca="false">IF(OR(C22="",I22=""),"",C22-I22)</f>
        <v/>
      </c>
      <c r="K22" s="6" t="s">
        <v>131</v>
      </c>
      <c r="L22" s="21" t="s">
        <v>132</v>
      </c>
    </row>
    <row r="23" customFormat="false" ht="26.85" hidden="false" customHeight="false" outlineLevel="0" collapsed="false">
      <c r="A23" s="19" t="s">
        <v>59</v>
      </c>
      <c r="B23" s="6" t="s">
        <v>60</v>
      </c>
      <c r="C23" s="7"/>
      <c r="D23" s="6" t="s">
        <v>125</v>
      </c>
      <c r="E23" s="6" t="s">
        <v>133</v>
      </c>
      <c r="F23" s="20" t="n">
        <v>100</v>
      </c>
      <c r="G23" s="20" t="n">
        <v>390.74</v>
      </c>
      <c r="H23" s="19" t="s">
        <v>127</v>
      </c>
      <c r="I23" s="10" t="n">
        <f aca="false">IF(OR(F23="",G23=""),"",G23/F23/IF(H23="AED",$C$4,IF(H23="L.L.",$C$3,1)))</f>
        <v>1.06396187882914</v>
      </c>
      <c r="J23" s="10" t="str">
        <f aca="false">IF(OR(C23="",I23=""),"",C23-I23)</f>
        <v/>
      </c>
      <c r="K23" s="6"/>
      <c r="L23" s="21" t="s">
        <v>134</v>
      </c>
    </row>
    <row r="24" customFormat="false" ht="26.85" hidden="false" customHeight="false" outlineLevel="0" collapsed="false">
      <c r="A24" s="19" t="s">
        <v>63</v>
      </c>
      <c r="B24" s="6" t="s">
        <v>64</v>
      </c>
      <c r="C24" s="7" t="n">
        <v>0.15</v>
      </c>
      <c r="D24" s="6" t="s">
        <v>135</v>
      </c>
      <c r="E24" s="6" t="s">
        <v>136</v>
      </c>
      <c r="F24" s="20" t="n">
        <v>10</v>
      </c>
      <c r="G24" s="20" t="n">
        <v>6.95</v>
      </c>
      <c r="H24" s="19" t="s">
        <v>127</v>
      </c>
      <c r="I24" s="10" t="n">
        <f aca="false">IF(OR(F24="",G24=""),"",G24/F24/IF(H24="AED",$C$4,IF(H24="L.L.",$C$3,1)))</f>
        <v>0.189244383934649</v>
      </c>
      <c r="J24" s="10" t="n">
        <f aca="false">IF(OR(C24="",I24=""),"",C24-I24)</f>
        <v>-0.0392443839346495</v>
      </c>
      <c r="K24" s="6" t="s">
        <v>137</v>
      </c>
      <c r="L24" s="21" t="s">
        <v>138</v>
      </c>
    </row>
    <row r="25" customFormat="false" ht="26.85" hidden="false" customHeight="false" outlineLevel="0" collapsed="false">
      <c r="A25" s="19" t="s">
        <v>66</v>
      </c>
      <c r="B25" s="6" t="s">
        <v>67</v>
      </c>
      <c r="C25" s="7" t="n">
        <v>0.3</v>
      </c>
      <c r="D25" s="6" t="s">
        <v>139</v>
      </c>
      <c r="E25" s="6" t="s">
        <v>140</v>
      </c>
      <c r="F25" s="20" t="n">
        <v>10</v>
      </c>
      <c r="G25" s="20" t="n">
        <v>14</v>
      </c>
      <c r="H25" s="19" t="s">
        <v>127</v>
      </c>
      <c r="I25" s="10" t="n">
        <f aca="false">IF(OR(F25="",G25=""),"",G25/F25/IF(H25="AED",$C$4,IF(H25="L.L.",$C$3,1)))</f>
        <v>0.381211708645337</v>
      </c>
      <c r="J25" s="10" t="n">
        <f aca="false">IF(OR(C25="",I25=""),"",C25-I25)</f>
        <v>-0.0812117086453369</v>
      </c>
      <c r="K25" s="6" t="s">
        <v>141</v>
      </c>
      <c r="L25" s="21" t="s">
        <v>142</v>
      </c>
    </row>
  </sheetData>
  <hyperlinks>
    <hyperlink ref="L7" r:id="rId2" display="https://prodelpak.com/product/take-out-for-broasted-chicken-and-fries/"/>
    <hyperlink ref="L8" r:id="rId3" display="https://prodelpak.com/product/round-paper-bowl-with-pet-lid-1000-ml-black-color-with-kraft-color-inside/"/>
    <hyperlink ref="L9" r:id="rId4" display="https://prodelpak.com/product/square-paper-bowl-for-salads-and-food-with-pet-lid-sealable-500-1400-ml/"/>
    <hyperlink ref="L10" r:id="rId5" display="https://prodelpak.com/product/ecopulp-hrv-cb48-base-48-ozpet-lid/"/>
    <hyperlink ref="L11" r:id="rId6" display="https://prodelpak.com/product/square-paper-bowl-for-salads-and-food-with-pet-lid-sealable-500-1400-ml/"/>
    <hyperlink ref="L12" r:id="rId7" display="https://prodelpak.com/product/soup-cup-with-paper-lids-8oz-to-32-oz-white-and-kraft/"/>
    <hyperlink ref="L13" r:id="rId8" display="https://www.webstaurantstore.com/47305/foam-hinged-take-out-containers.html"/>
    <hyperlink ref="L14" r:id="rId9" display="https://prodelpak.com/product-section/sandwiches-wraps/page/2/"/>
    <hyperlink ref="L15" r:id="rId10" display="https://prodelpak.com/product/ecomi-doner/"/>
    <hyperlink ref="L16" r:id="rId11" display="https://prodelpak.com/product-category/burger-box/"/>
    <hyperlink ref="L17" r:id="rId12" display="https://prodelpak.com/product/burger-auto/"/>
    <hyperlink ref="L18" r:id="rId13" display="https://prodelpak.com/product/14016-flower-burger-l-12-5-12-5-7-5-kraft-stk/"/>
    <hyperlink ref="L19" r:id="rId14" display="https://prodelpak.com/product/12016-take-out-handle-l-_-23-14-12-5/"/>
    <hyperlink ref="L20" r:id="rId15" display="https://prodelpak.com/product/club-box-new/"/>
    <hyperlink ref="L21" r:id="rId16" display="https://www.restaurantware.ae/products/bio-tek-85-oz-red-and-white-paper-chicken-bucket-with-lid-100-count-box"/>
    <hyperlink ref="L22" r:id="rId17" display="https://www.restaurantware.ae/products/bio-tek-130-oz-red-and-white-paper-chicken-bucket-with-lid-25-count-box"/>
    <hyperlink ref="L23" r:id="rId18" display="https://restaurantware.ae/products/bio-tek-150-oz-red-and-white-paper-chicken-bucket-with-lid-100-count-box"/>
    <hyperlink ref="L24" r:id="rId19" display="https://www.talabat.com/ar/uae/grocery/693860/aysha-supermarketkhazam/disposables/containers?aid=3921"/>
    <hyperlink ref="L25" r:id="rId20" display="https://www.talabat.com/ar/uae/grocery/718395/bigbuy-express-supermarket-arjan/disposables/containers?aid=400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22" t="s">
        <v>74</v>
      </c>
      <c r="B1" s="22" t="s">
        <v>143</v>
      </c>
      <c r="C1" s="22" t="s">
        <v>144</v>
      </c>
      <c r="D1" s="22" t="s">
        <v>145</v>
      </c>
      <c r="E1" s="22" t="s">
        <v>146</v>
      </c>
    </row>
    <row r="2" customFormat="false" ht="26.85" hidden="false" customHeight="false" outlineLevel="0" collapsed="false">
      <c r="A2" s="6" t="s">
        <v>147</v>
      </c>
      <c r="B2" s="6" t="s">
        <v>148</v>
      </c>
      <c r="C2" s="6" t="s">
        <v>149</v>
      </c>
      <c r="D2" s="6" t="s">
        <v>150</v>
      </c>
      <c r="E2" s="23" t="s">
        <v>151</v>
      </c>
    </row>
    <row r="3" customFormat="false" ht="26.85" hidden="false" customHeight="false" outlineLevel="0" collapsed="false">
      <c r="A3" s="6" t="s">
        <v>152</v>
      </c>
      <c r="B3" s="6" t="s">
        <v>153</v>
      </c>
      <c r="C3" s="6" t="s">
        <v>154</v>
      </c>
      <c r="D3" s="6" t="s">
        <v>155</v>
      </c>
      <c r="E3" s="23" t="s">
        <v>156</v>
      </c>
    </row>
    <row r="4" customFormat="false" ht="15" hidden="false" customHeight="false" outlineLevel="0" collapsed="false">
      <c r="A4" s="6" t="s">
        <v>157</v>
      </c>
      <c r="B4" s="6" t="s">
        <v>158</v>
      </c>
      <c r="C4" s="6" t="s">
        <v>159</v>
      </c>
      <c r="D4" s="6" t="s">
        <v>160</v>
      </c>
      <c r="E4" s="23" t="s">
        <v>161</v>
      </c>
    </row>
    <row r="5" customFormat="false" ht="26.85" hidden="false" customHeight="false" outlineLevel="0" collapsed="false">
      <c r="A5" s="6" t="s">
        <v>162</v>
      </c>
      <c r="B5" s="6" t="s">
        <v>163</v>
      </c>
      <c r="C5" s="6" t="s">
        <v>164</v>
      </c>
      <c r="D5" s="6" t="s">
        <v>160</v>
      </c>
      <c r="E5" s="23" t="s">
        <v>165</v>
      </c>
    </row>
    <row r="6" customFormat="false" ht="15" hidden="false" customHeight="false" outlineLevel="0" collapsed="false">
      <c r="A6" s="6" t="s">
        <v>166</v>
      </c>
      <c r="B6" s="6" t="s">
        <v>167</v>
      </c>
      <c r="C6" s="6" t="s">
        <v>168</v>
      </c>
      <c r="D6" s="6" t="s">
        <v>169</v>
      </c>
      <c r="E6" s="23" t="s">
        <v>170</v>
      </c>
    </row>
    <row r="7" customFormat="false" ht="26.85" hidden="false" customHeight="false" outlineLevel="0" collapsed="false">
      <c r="A7" s="6" t="s">
        <v>171</v>
      </c>
      <c r="B7" s="6" t="s">
        <v>172</v>
      </c>
      <c r="C7" s="6" t="s">
        <v>173</v>
      </c>
      <c r="D7" s="6" t="s">
        <v>174</v>
      </c>
      <c r="E7" s="23" t="s">
        <v>175</v>
      </c>
    </row>
  </sheetData>
  <hyperlinks>
    <hyperlink ref="E2" r:id="rId1" display="https://prodelpak.com/contact-us/"/>
    <hyperlink ref="E3" r:id="rId2" display="https://alwalidplast.com/"/>
    <hyperlink ref="E4" r:id="rId3" display="https://us.kompass.com/c/werpack-sal/lb029630/"/>
    <hyperlink ref="E5" r:id="rId4" display="https://lb.kompass.com/a/paper-bags-and-sacks-for-packaging/16680/"/>
    <hyperlink ref="E6" r:id="rId5" display="https://www.facebook.com/plastiban/"/>
    <hyperlink ref="E7" r:id="rId6" display="https://www.restaurantware.ae/collections/food-buckets-chicken-bucke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2026-10-22T12:07:09Z</dcterms:created>
  <dc:creator>openpyxl</dc:creator>
  <dc:description/>
  <dc:language>en-US</dc:language>
  <cp:lastModifiedBy/>
  <dcterms:modified xsi:type="dcterms:W3CDTF">2026-10-22T12:07:09Z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